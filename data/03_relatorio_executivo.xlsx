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\Documents\Github\Automacao_Python\data\"/>
    </mc:Choice>
  </mc:AlternateContent>
  <xr:revisionPtr revIDLastSave="0" documentId="13_ncr:1_{F6053F11-F0FA-4020-BC13-8BA2DA13D8A6}" xr6:coauthVersionLast="47" xr6:coauthVersionMax="47" xr10:uidLastSave="{00000000-0000-0000-0000-000000000000}"/>
  <bookViews>
    <workbookView xWindow="-120" yWindow="-120" windowWidth="20730" windowHeight="11040" tabRatio="669" activeTab="2" xr2:uid="{00000000-000D-0000-FFFF-FFFF00000000}"/>
  </bookViews>
  <sheets>
    <sheet name="Dashboard_Executivo" sheetId="2" r:id="rId1"/>
    <sheet name="Dados_Consolidados" sheetId="3" r:id="rId2"/>
    <sheet name="stg_vendas" sheetId="5" r:id="rId3"/>
  </sheets>
  <definedNames>
    <definedName name="_xlcn.WorksheetConnection_03_relatorio_executivo.xlsxvw_resumo_mensal1" hidden="1">vw_resumo_mensal[]</definedName>
    <definedName name="ExternalData_1" localSheetId="1" hidden="1">Dados_Consolidados!$A$1:$E$11</definedName>
    <definedName name="ExternalData_2" localSheetId="2" hidden="1">stg_vendas!$A$1:$H$11</definedName>
  </definedNames>
  <calcPr calcId="191029"/>
  <pivotCaches>
    <pivotCache cacheId="6" r:id="rId4"/>
  </pivotCaches>
  <extLst>
    <ext xmlns:x15="http://schemas.microsoft.com/office/spreadsheetml/2010/11/main" uri="{FCE2AD5D-F65C-4FA6-A056-5C36A1767C68}">
      <x15:dataModel>
        <x15:modelTables>
          <x15:modelTable id="vw_resumo_mensal" name="vw_resumo_mensal" connection="WorksheetConnection_03_relatorio_executivo.xlsx!vw_resumo_mensa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2" l="1"/>
  <c r="I4" i="2" s="1"/>
  <c r="H2" i="2"/>
  <c r="H5" i="2" s="1"/>
  <c r="C7" i="2"/>
  <c r="C6" i="2" s="1"/>
  <c r="C9" i="2"/>
  <c r="C8" i="2"/>
  <c r="C4" i="2" l="1"/>
  <c r="I8" i="2"/>
  <c r="I7" i="2"/>
  <c r="I6" i="2"/>
  <c r="I5" i="2"/>
  <c r="J5" i="2" s="1"/>
  <c r="H8" i="2"/>
  <c r="H7" i="2"/>
  <c r="H6" i="2"/>
  <c r="H4" i="2"/>
  <c r="J4" i="2" s="1"/>
  <c r="J6" i="2" l="1"/>
  <c r="J7" i="2"/>
  <c r="J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BDBB5-DFF5-4E25-B49E-783C4BBF6613}" keepAlive="1" name="Query - fato_vendas_historico" description="Connection to the 'fato_vendas_historico' query in the workbook." type="5" refreshedVersion="0" saveData="1">
    <dbPr connection="Provider=Microsoft.Mashup.OleDb.1;Data Source=$Workbook$;Location=fato_vendas_historico;Extended Properties=&quot;&quot;" command="SELECT * FROM [fato_vendas_historico]"/>
  </connection>
  <connection id="2" xr16:uid="{C5CEB2F2-753E-49D2-A098-BA62F7AEE104}" keepAlive="1" name="Query - stg_vendas" description="Connection to the 'stg_vendas' query in the workbook." type="5" refreshedVersion="8" saveData="1">
    <dbPr connection="Provider=Microsoft.Mashup.OleDb.1;Data Source=$Workbook$;Location=stg_vendas;Extended Properties=&quot;&quot;" command="SELECT * FROM [stg_vendas]"/>
  </connection>
  <connection id="3" xr16:uid="{CEFEF3A4-4991-414D-AAC7-B22C2DB39C3A}" keepAlive="1" name="Query - vw_resumo_mensal" description="Connection to the 'vw_resumo_mensal' query in the workbook." type="5" refreshedVersion="8" saveData="1">
    <dbPr connection="Provider=Microsoft.Mashup.OleDb.1;Data Source=$Workbook$;Location=vw_resumo_mensal;Extended Properties=&quot;&quot;" command="SELECT * FROM [vw_resumo_mensal]"/>
  </connection>
  <connection id="4" xr16:uid="{25F1C964-EDC2-447E-BC3B-A3D387D8CEF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5796F557-4102-42BF-BC21-01C31A53F53E}" name="WorksheetConnection_03_relatorio_executivo.xlsx!vw_resumo_mensal" type="102" refreshedVersion="8" minRefreshableVersion="5">
    <extLst>
      <ext xmlns:x15="http://schemas.microsoft.com/office/spreadsheetml/2010/11/main" uri="{DE250136-89BD-433C-8126-D09CA5730AF9}">
        <x15:connection id="vw_resumo_mensal" autoDelete="1">
          <x15:rangePr sourceName="_xlcn.WorksheetConnection_03_relatorio_executivo.xlsxvw_resumo_mensal1"/>
        </x15:connection>
      </ext>
    </extLst>
  </connection>
</connections>
</file>

<file path=xl/sharedStrings.xml><?xml version="1.0" encoding="utf-8"?>
<sst xmlns="http://schemas.openxmlformats.org/spreadsheetml/2006/main" count="80" uniqueCount="40">
  <si>
    <t>mes_ano</t>
  </si>
  <si>
    <t>filial</t>
  </si>
  <si>
    <t>faturamento_total</t>
  </si>
  <si>
    <t>ticket_medio</t>
  </si>
  <si>
    <t>qtd_pedidos</t>
  </si>
  <si>
    <t>2026-08</t>
  </si>
  <si>
    <t>Sul</t>
  </si>
  <si>
    <t>2026-09</t>
  </si>
  <si>
    <t>Sudeste</t>
  </si>
  <si>
    <t>2026-10</t>
  </si>
  <si>
    <t>Nordeste</t>
  </si>
  <si>
    <t>Indicador</t>
  </si>
  <si>
    <t>Valor</t>
  </si>
  <si>
    <t>Faturamento Realizado</t>
  </si>
  <si>
    <t>Meta do Mês</t>
  </si>
  <si>
    <t>Desvio (R$)</t>
  </si>
  <si>
    <t>Atingimento (%)</t>
  </si>
  <si>
    <t>id_venda</t>
  </si>
  <si>
    <t>data_venda</t>
  </si>
  <si>
    <t>produto</t>
  </si>
  <si>
    <t>quantidade</t>
  </si>
  <si>
    <t>valor_unitario</t>
  </si>
  <si>
    <t>valor_total</t>
  </si>
  <si>
    <t>Notebook Pro</t>
  </si>
  <si>
    <t>Monitor 27</t>
  </si>
  <si>
    <t>Teclado Mecânico</t>
  </si>
  <si>
    <t>Cadeira Ergonômica</t>
  </si>
  <si>
    <t>Mouse Sem Fio</t>
  </si>
  <si>
    <t>data_carga</t>
  </si>
  <si>
    <t>Total de Pedidos</t>
  </si>
  <si>
    <t>Ticket Médio Geral</t>
  </si>
  <si>
    <t>Mes</t>
  </si>
  <si>
    <t>Faturamento Total</t>
  </si>
  <si>
    <t>por Região</t>
  </si>
  <si>
    <t>Região</t>
  </si>
  <si>
    <t>Centro-Oeste</t>
  </si>
  <si>
    <t>Norte</t>
  </si>
  <si>
    <t>Mês Anterior</t>
  </si>
  <si>
    <t>Mês Atual</t>
  </si>
  <si>
    <t>Crescimento (MoM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</si>
</sst>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0" fontId="0" fillId="0" borderId="0" xfId="0" applyAlignment="1">
      <alignment wrapText="1"/>
    </xf>
    <xf numFmtId="0" fontId="0" fillId="0" borderId="0" xfId="0" pivotButton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6">
    <dxf>
      <numFmt numFmtId="27" formatCode="dd/mm/yyyy\ hh:m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" refreshedDate="46308.482556944444" backgroundQuery="1" createdVersion="8" refreshedVersion="8" minRefreshableVersion="3" recordCount="0" supportSubquery="1" supportAdvancedDrill="1" xr:uid="{F13DA6E3-BFF6-4CC4-85EC-DBE201578EB7}">
  <cacheSource type="external" connectionId="4"/>
  <cacheFields count="3">
    <cacheField name="[vw_resumo_mensal].[mes_ano].[mes_ano]" caption="mes_ano" numFmtId="0" level="1">
      <sharedItems count="3">
        <s v="2026-08"/>
        <s v="2026-09"/>
        <s v="2026-10"/>
      </sharedItems>
    </cacheField>
    <cacheField name="[vw_resumo_mensal].[filial].[filial]" caption="filial" numFmtId="0" hierarchy="1" level="1">
      <sharedItems count="4">
        <s v="Nordeste"/>
        <s v="Norte"/>
        <s v="Sudeste"/>
        <s v="Sul"/>
      </sharedItems>
    </cacheField>
    <cacheField name="[Measures].[Sum of faturamento_total]" caption="Sum of faturamento_total" numFmtId="0" hierarchy="7" level="32767"/>
  </cacheFields>
  <cacheHierarchies count="8">
    <cacheHierarchy uniqueName="[vw_resumo_mensal].[mes_ano]" caption="mes_ano" attribute="1" defaultMemberUniqueName="[vw_resumo_mensal].[mes_ano].[All]" allUniqueName="[vw_resumo_mensal].[mes_ano].[All]" dimensionUniqueName="[vw_resumo_mensal]" displayFolder="" count="2" memberValueDatatype="130" unbalanced="0">
      <fieldsUsage count="2">
        <fieldUsage x="-1"/>
        <fieldUsage x="0"/>
      </fieldsUsage>
    </cacheHierarchy>
    <cacheHierarchy uniqueName="[vw_resumo_mensal].[filial]" caption="filial" attribute="1" defaultMemberUniqueName="[vw_resumo_mensal].[filial].[All]" allUniqueName="[vw_resumo_mensal].[filial].[All]" dimensionUniqueName="[vw_resumo_mensal]" displayFolder="" count="2" memberValueDatatype="130" unbalanced="0">
      <fieldsUsage count="2">
        <fieldUsage x="-1"/>
        <fieldUsage x="1"/>
      </fieldsUsage>
    </cacheHierarchy>
    <cacheHierarchy uniqueName="[vw_resumo_mensal].[faturamento_total]" caption="faturamento_total" attribute="1" defaultMemberUniqueName="[vw_resumo_mensal].[faturamento_total].[All]" allUniqueName="[vw_resumo_mensal].[faturamento_total].[All]" dimensionUniqueName="[vw_resumo_mensal]" displayFolder="" count="0" memberValueDatatype="20" unbalanced="0"/>
    <cacheHierarchy uniqueName="[vw_resumo_mensal].[ticket_medio]" caption="ticket_medio" attribute="1" defaultMemberUniqueName="[vw_resumo_mensal].[ticket_medio].[All]" allUniqueName="[vw_resumo_mensal].[ticket_medio].[All]" dimensionUniqueName="[vw_resumo_mensal]" displayFolder="" count="0" memberValueDatatype="5" unbalanced="0"/>
    <cacheHierarchy uniqueName="[vw_resumo_mensal].[qtd_pedidos]" caption="qtd_pedidos" attribute="1" defaultMemberUniqueName="[vw_resumo_mensal].[qtd_pedidos].[All]" allUniqueName="[vw_resumo_mensal].[qtd_pedidos].[All]" dimensionUniqueName="[vw_resumo_mensal]" displayFolder="" count="0" memberValueDatatype="20" unbalanced="0"/>
    <cacheHierarchy uniqueName="[Measures].[__XL_Count vw_resumo_mensal]" caption="__XL_Count vw_resumo_mensal" measure="1" displayFolder="" measureGroup="vw_resumo_mensal" count="0" hidden="1"/>
    <cacheHierarchy uniqueName="[Measures].[__No measures defined]" caption="__No measures defined" measure="1" displayFolder="" count="0" hidden="1"/>
    <cacheHierarchy uniqueName="[Measures].[Sum of faturamento_total]" caption="Sum of faturamento_total" measure="1" displayFolder="" measureGroup="vw_resumo_mens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vw_resumo_mensal" uniqueName="[vw_resumo_mensal]" caption="vw_resumo_mensal"/>
  </dimensions>
  <measureGroups count="1">
    <measureGroup name="vw_resumo_mensal" caption="vw_resumo_mensa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8207F-AB8E-4FEB-9444-10885B7111DC}" name="PivotTable1" cacheId="6" applyNumberFormats="0" applyBorderFormats="0" applyFontFormats="0" applyPatternFormats="0" applyAlignmentFormats="0" applyWidthHeightFormats="1" dataCaption="Values" updatedVersion="8" minRefreshableVersion="3" preserveFormatting="0" useAutoFormatting="1" rowGrandTotals="0" colGrandTotals="0" itemPrintTitles="1" createdVersion="8" indent="0" outline="1" outlineData="1" multipleFieldFilters="0" rowHeaderCaption="por Região" colHeaderCaption="Mes">
  <location ref="B12:E17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0"/>
  </colFields>
  <colItems count="3">
    <i>
      <x/>
    </i>
    <i>
      <x v="1"/>
    </i>
    <i>
      <x v="2"/>
    </i>
  </colItems>
  <dataFields count="1">
    <dataField name="Faturamento Total" fld="2" baseField="0" baseItem="0"/>
  </dataField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Faturamento Total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3_relatorio_executivo.xlsx!vw_resumo_mensal">
        <x15:activeTabTopLevelEntity name="[vw_resumo_mens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4DA7B60B-0CCD-4115-9112-D088E74BB325}" autoFormatId="16" applyNumberFormats="0" applyBorderFormats="0" applyFontFormats="0" applyPatternFormats="0" applyAlignmentFormats="0" applyWidthHeightFormats="0">
  <queryTableRefresh nextId="6">
    <queryTableFields count="5">
      <queryTableField id="1" name="mes_ano" tableColumnId="1"/>
      <queryTableField id="2" name="filial" tableColumnId="2"/>
      <queryTableField id="3" name="faturamento_total" tableColumnId="3"/>
      <queryTableField id="4" name="ticket_medio" tableColumnId="4"/>
      <queryTableField id="5" name="qtd_pedido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268BBD0-D397-4CA4-8128-ED355DA3A758}" autoFormatId="16" applyNumberFormats="0" applyBorderFormats="0" applyFontFormats="0" applyPatternFormats="0" applyAlignmentFormats="0" applyWidthHeightFormats="0">
  <queryTableRefresh nextId="9">
    <queryTableFields count="8">
      <queryTableField id="1" name="id_venda" tableColumnId="1"/>
      <queryTableField id="2" name="data_venda" tableColumnId="2"/>
      <queryTableField id="3" name="filial" tableColumnId="3"/>
      <queryTableField id="4" name="produto" tableColumnId="4"/>
      <queryTableField id="5" name="quantidade" tableColumnId="5"/>
      <queryTableField id="6" name="valor_unitario" tableColumnId="6"/>
      <queryTableField id="7" name="valor_total" tableColumnId="7"/>
      <queryTableField id="8" name="data_carg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66CC2-CF54-4B8E-8EEC-90A2D357C2C9}" name="vw_resumo_mensal" displayName="vw_resumo_mensal" ref="A1:E11" tableType="queryTable" totalsRowShown="0">
  <autoFilter ref="A1:E11" xr:uid="{3F966CC2-CF54-4B8E-8EEC-90A2D357C2C9}"/>
  <tableColumns count="5">
    <tableColumn id="1" xr3:uid="{B8BC8C13-ECBF-4E7B-ABA4-1F17953905F8}" uniqueName="1" name="mes_ano" queryTableFieldId="1" dataDxfId="5"/>
    <tableColumn id="2" xr3:uid="{90EF4985-D448-4C41-95C4-B6AB86721E3D}" uniqueName="2" name="filial" queryTableFieldId="2" dataDxfId="4"/>
    <tableColumn id="3" xr3:uid="{76666F8F-9416-4F09-997D-6D594A71B6BC}" uniqueName="3" name="faturamento_total" queryTableFieldId="3"/>
    <tableColumn id="4" xr3:uid="{4E54B42F-A069-49B1-916D-C6EE9594E1F8}" uniqueName="4" name="ticket_medio" queryTableFieldId="4"/>
    <tableColumn id="5" xr3:uid="{FE3064C9-1092-454D-B0E4-AE79D06F264E}" uniqueName="5" name="qtd_pedido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4B9B03-B583-4BAA-838C-F085FC62A9A8}" name="stg_vendas" displayName="stg_vendas" ref="A1:H11" tableType="queryTable" totalsRowShown="0">
  <autoFilter ref="A1:H11" xr:uid="{C24B9B03-B583-4BAA-838C-F085FC62A9A8}"/>
  <tableColumns count="8">
    <tableColumn id="1" xr3:uid="{6831D6A6-C37A-4E81-BAD6-F57CC41BFCA6}" uniqueName="1" name="id_venda" queryTableFieldId="1"/>
    <tableColumn id="2" xr3:uid="{98AD42D6-9D21-4B29-91A7-541A76DECB1C}" uniqueName="2" name="data_venda" queryTableFieldId="2" dataDxfId="3"/>
    <tableColumn id="3" xr3:uid="{4431C711-4BBE-4234-94F9-315C4D470014}" uniqueName="3" name="filial" queryTableFieldId="3" dataDxfId="2"/>
    <tableColumn id="4" xr3:uid="{EA98F7C4-201A-4D29-AD80-EB3ED57C0894}" uniqueName="4" name="produto" queryTableFieldId="4" dataDxfId="1"/>
    <tableColumn id="5" xr3:uid="{A3518EA4-AB1A-4F4F-B7F6-01C92469F758}" uniqueName="5" name="quantidade" queryTableFieldId="5"/>
    <tableColumn id="6" xr3:uid="{F5F14556-2389-4CC0-ABC2-1D115709C98D}" uniqueName="6" name="valor_unitario" queryTableFieldId="6"/>
    <tableColumn id="7" xr3:uid="{CA06112F-861F-4A4A-9F86-C4F06483D316}" uniqueName="7" name="valor_total" queryTableFieldId="7"/>
    <tableColumn id="8" xr3:uid="{7B5C66A3-C435-4895-BBB0-A3895ACEFDA8}" uniqueName="8" name="data_carga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7"/>
  <sheetViews>
    <sheetView workbookViewId="0">
      <selection activeCell="H12" sqref="H12"/>
    </sheetView>
  </sheetViews>
  <sheetFormatPr defaultRowHeight="15"/>
  <cols>
    <col min="1" max="1" width="6.7109375" customWidth="1"/>
    <col min="2" max="2" width="17.5703125" bestFit="1" customWidth="1"/>
    <col min="3" max="5" width="7.7109375" bestFit="1" customWidth="1"/>
    <col min="6" max="6" width="3.7109375" customWidth="1"/>
    <col min="7" max="7" width="13.140625" bestFit="1" customWidth="1"/>
    <col min="8" max="8" width="16.7109375" bestFit="1" customWidth="1"/>
    <col min="9" max="9" width="14.7109375" customWidth="1"/>
    <col min="10" max="10" width="24" customWidth="1"/>
  </cols>
  <sheetData>
    <row r="2" spans="2:10">
      <c r="H2" s="11" t="str">
        <f ca="1">TEXT(DATE(YEAR(TODAY()),MONTH(TODAY())-1,1),"AAAA-mm")</f>
        <v>2026-09</v>
      </c>
      <c r="I2" s="11" t="str">
        <f ca="1">TEXT(TODAY(),"AAAA-mm")</f>
        <v>2026-10</v>
      </c>
    </row>
    <row r="3" spans="2:10" ht="15.75">
      <c r="B3" s="10" t="s">
        <v>11</v>
      </c>
      <c r="C3" s="10" t="s">
        <v>12</v>
      </c>
      <c r="D3" s="4"/>
      <c r="E3" s="4"/>
      <c r="F3" s="4"/>
      <c r="G3" s="10" t="s">
        <v>34</v>
      </c>
      <c r="H3" s="10" t="s">
        <v>37</v>
      </c>
      <c r="I3" s="10" t="s">
        <v>38</v>
      </c>
      <c r="J3" s="10" t="s">
        <v>39</v>
      </c>
    </row>
    <row r="4" spans="2:10">
      <c r="B4" s="5" t="s">
        <v>16</v>
      </c>
      <c r="C4" s="7">
        <f>C7/C5</f>
        <v>0.77800000000000002</v>
      </c>
      <c r="G4" s="5" t="s">
        <v>6</v>
      </c>
      <c r="H4" s="13">
        <f ca="1">SUMIFS(Dados_Consolidados!$C:$C, Dados_Consolidados!$B:$B, $G4, Dados_Consolidados!$A:$A, $H$2)</f>
        <v>18000</v>
      </c>
      <c r="I4" s="13">
        <f ca="1">SUMIFS(Dados_Consolidados!$C:$C, Dados_Consolidados!$B:$B, $G4, Dados_Consolidados!$A:$A, $I$2)</f>
        <v>64200</v>
      </c>
      <c r="J4" s="12">
        <f ca="1">IFERROR((I4 - H4) / H4, 0)</f>
        <v>2.5666666666666669</v>
      </c>
    </row>
    <row r="5" spans="2:10">
      <c r="B5" s="5" t="s">
        <v>14</v>
      </c>
      <c r="C5" s="6">
        <v>600000</v>
      </c>
      <c r="G5" s="5" t="s">
        <v>8</v>
      </c>
      <c r="H5" s="13">
        <f ca="1">SUMIFS(Dados_Consolidados!$C:$C, Dados_Consolidados!$B:$B, $G5, Dados_Consolidados!$A:$A, $H$2)</f>
        <v>112500</v>
      </c>
      <c r="I5" s="13">
        <f ca="1">SUMIFS(Dados_Consolidados!$C:$C, Dados_Consolidados!$B:$B, $G5, Dados_Consolidados!$A:$A, $I$2)</f>
        <v>45600</v>
      </c>
      <c r="J5" s="12">
        <f t="shared" ref="J5:J8" ca="1" si="0">IFERROR((I5 - H5) / H5, 0)</f>
        <v>-0.59466666666666668</v>
      </c>
    </row>
    <row r="6" spans="2:10">
      <c r="B6" s="5" t="s">
        <v>15</v>
      </c>
      <c r="C6" s="6">
        <f>C7-C5</f>
        <v>-133200</v>
      </c>
      <c r="G6" s="5" t="s">
        <v>35</v>
      </c>
      <c r="H6" s="13">
        <f ca="1">SUMIFS(Dados_Consolidados!$C:$C, Dados_Consolidados!$B:$B, $G6, Dados_Consolidados!$A:$A, $H$2)</f>
        <v>0</v>
      </c>
      <c r="I6" s="13">
        <f ca="1">SUMIFS(Dados_Consolidados!$C:$C, Dados_Consolidados!$B:$B, $G6, Dados_Consolidados!$A:$A, $I$2)</f>
        <v>0</v>
      </c>
      <c r="J6" s="12">
        <f t="shared" ca="1" si="0"/>
        <v>0</v>
      </c>
    </row>
    <row r="7" spans="2:10">
      <c r="B7" s="5" t="s">
        <v>13</v>
      </c>
      <c r="C7" s="6">
        <f>SUM(vw_resumo_mensal[faturamento_total])</f>
        <v>466800</v>
      </c>
      <c r="G7" s="5" t="s">
        <v>10</v>
      </c>
      <c r="H7" s="13">
        <f ca="1">SUMIFS(Dados_Consolidados!$C:$C, Dados_Consolidados!$B:$B, $G7, Dados_Consolidados!$A:$A, $H$2)</f>
        <v>15000</v>
      </c>
      <c r="I7" s="13">
        <f ca="1">SUMIFS(Dados_Consolidados!$C:$C, Dados_Consolidados!$B:$B, $G7, Dados_Consolidados!$A:$A, $I$2)</f>
        <v>54000</v>
      </c>
      <c r="J7" s="12">
        <f t="shared" ca="1" si="0"/>
        <v>2.6</v>
      </c>
    </row>
    <row r="8" spans="2:10">
      <c r="B8" s="5" t="s">
        <v>30</v>
      </c>
      <c r="C8" s="6">
        <f>AVERAGE(vw_resumo_mensal[ticket_medio])</f>
        <v>29928.333333300001</v>
      </c>
      <c r="G8" s="5" t="s">
        <v>36</v>
      </c>
      <c r="H8" s="13">
        <f ca="1">SUMIFS(Dados_Consolidados!$C:$C, Dados_Consolidados!$B:$B, $G8, Dados_Consolidados!$A:$A, $H$2)</f>
        <v>0</v>
      </c>
      <c r="I8" s="13">
        <f ca="1">SUMIFS(Dados_Consolidados!$C:$C, Dados_Consolidados!$B:$B, $G8, Dados_Consolidados!$A:$A, $I$2)</f>
        <v>67000</v>
      </c>
      <c r="J8" s="12">
        <f t="shared" ca="1" si="0"/>
        <v>0</v>
      </c>
    </row>
    <row r="9" spans="2:10">
      <c r="B9" s="5" t="s">
        <v>29</v>
      </c>
      <c r="C9" s="5">
        <f>SUM(vw_resumo_mensal[qtd_pedidos])</f>
        <v>21</v>
      </c>
    </row>
    <row r="10" spans="2:10">
      <c r="H10" s="8"/>
    </row>
    <row r="12" spans="2:10">
      <c r="B12" s="9" t="s">
        <v>32</v>
      </c>
      <c r="C12" s="9" t="s">
        <v>31</v>
      </c>
    </row>
    <row r="13" spans="2:10">
      <c r="B13" s="9" t="s">
        <v>33</v>
      </c>
      <c r="C13" t="s">
        <v>5</v>
      </c>
      <c r="D13" t="s">
        <v>7</v>
      </c>
      <c r="E13" t="s">
        <v>9</v>
      </c>
    </row>
    <row r="14" spans="2:10">
      <c r="B14" s="5" t="s">
        <v>10</v>
      </c>
      <c r="C14" s="1">
        <v>17500</v>
      </c>
      <c r="D14" s="1">
        <v>15000</v>
      </c>
      <c r="E14" s="1">
        <v>54000</v>
      </c>
    </row>
    <row r="15" spans="2:10">
      <c r="B15" s="5" t="s">
        <v>36</v>
      </c>
      <c r="C15" s="1"/>
      <c r="D15" s="1"/>
      <c r="E15" s="1">
        <v>67000</v>
      </c>
    </row>
    <row r="16" spans="2:10">
      <c r="B16" s="5" t="s">
        <v>8</v>
      </c>
      <c r="C16" s="1">
        <v>28000</v>
      </c>
      <c r="D16" s="1">
        <v>112500</v>
      </c>
      <c r="E16" s="1">
        <v>45600</v>
      </c>
    </row>
    <row r="17" spans="2:5">
      <c r="B17" s="5" t="s">
        <v>6</v>
      </c>
      <c r="C17" s="1">
        <v>45000</v>
      </c>
      <c r="D17" s="1">
        <v>18000</v>
      </c>
      <c r="E17" s="1">
        <v>64200</v>
      </c>
    </row>
  </sheetData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FFCA-9688-4E55-93D5-4EF3C19FFFDC}">
  <dimension ref="A1:E11"/>
  <sheetViews>
    <sheetView workbookViewId="0">
      <selection sqref="A1:E10"/>
    </sheetView>
  </sheetViews>
  <sheetFormatPr defaultRowHeight="15"/>
  <cols>
    <col min="1" max="1" width="11.28515625" bestFit="1" customWidth="1"/>
    <col min="2" max="2" width="9.28515625" bestFit="1" customWidth="1"/>
    <col min="3" max="3" width="19.85546875" bestFit="1" customWidth="1"/>
    <col min="4" max="4" width="15" bestFit="1" customWidth="1"/>
    <col min="5" max="5" width="14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10</v>
      </c>
      <c r="C2">
        <v>17500</v>
      </c>
      <c r="D2">
        <v>17500</v>
      </c>
      <c r="E2">
        <v>1</v>
      </c>
    </row>
    <row r="3" spans="1:5">
      <c r="A3" s="1" t="s">
        <v>7</v>
      </c>
      <c r="B3" s="1" t="s">
        <v>10</v>
      </c>
      <c r="C3">
        <v>15000</v>
      </c>
      <c r="D3">
        <v>15000</v>
      </c>
      <c r="E3">
        <v>1</v>
      </c>
    </row>
    <row r="4" spans="1:5">
      <c r="A4" s="1" t="s">
        <v>9</v>
      </c>
      <c r="B4" s="1" t="s">
        <v>10</v>
      </c>
      <c r="C4">
        <v>54000</v>
      </c>
      <c r="D4">
        <v>13500</v>
      </c>
      <c r="E4">
        <v>4</v>
      </c>
    </row>
    <row r="5" spans="1:5">
      <c r="A5" s="1" t="s">
        <v>9</v>
      </c>
      <c r="B5" s="1" t="s">
        <v>36</v>
      </c>
      <c r="C5">
        <v>67000</v>
      </c>
      <c r="D5">
        <v>22333.333332999999</v>
      </c>
      <c r="E5">
        <v>3</v>
      </c>
    </row>
    <row r="6" spans="1:5">
      <c r="A6" s="1" t="s">
        <v>5</v>
      </c>
      <c r="B6" s="1" t="s">
        <v>8</v>
      </c>
      <c r="C6">
        <v>28000</v>
      </c>
      <c r="D6">
        <v>28000</v>
      </c>
      <c r="E6">
        <v>1</v>
      </c>
    </row>
    <row r="7" spans="1:5">
      <c r="A7" s="1" t="s">
        <v>7</v>
      </c>
      <c r="B7" s="1" t="s">
        <v>8</v>
      </c>
      <c r="C7">
        <v>112500</v>
      </c>
      <c r="D7">
        <v>112500</v>
      </c>
      <c r="E7">
        <v>1</v>
      </c>
    </row>
    <row r="8" spans="1:5">
      <c r="A8" s="1" t="s">
        <v>9</v>
      </c>
      <c r="B8" s="1" t="s">
        <v>8</v>
      </c>
      <c r="C8">
        <v>45600</v>
      </c>
      <c r="D8">
        <v>11400</v>
      </c>
      <c r="E8">
        <v>4</v>
      </c>
    </row>
    <row r="9" spans="1:5">
      <c r="A9" s="1" t="s">
        <v>5</v>
      </c>
      <c r="B9" s="1" t="s">
        <v>6</v>
      </c>
      <c r="C9">
        <v>45000</v>
      </c>
      <c r="D9">
        <v>45000</v>
      </c>
      <c r="E9">
        <v>1</v>
      </c>
    </row>
    <row r="10" spans="1:5">
      <c r="A10" s="1" t="s">
        <v>7</v>
      </c>
      <c r="B10" s="1" t="s">
        <v>6</v>
      </c>
      <c r="C10">
        <v>18000</v>
      </c>
      <c r="D10">
        <v>18000</v>
      </c>
      <c r="E10">
        <v>1</v>
      </c>
    </row>
    <row r="11" spans="1:5">
      <c r="A11" s="1" t="s">
        <v>9</v>
      </c>
      <c r="B11" s="1" t="s">
        <v>6</v>
      </c>
      <c r="C11">
        <v>64200</v>
      </c>
      <c r="D11">
        <v>16050</v>
      </c>
      <c r="E1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182A-7E2C-4BD9-8EB2-5865FFA3440C}">
  <dimension ref="A1:H11"/>
  <sheetViews>
    <sheetView tabSelected="1" workbookViewId="0">
      <selection sqref="A1:H6"/>
    </sheetView>
  </sheetViews>
  <sheetFormatPr defaultRowHeight="15"/>
  <cols>
    <col min="1" max="1" width="11.42578125" bestFit="1" customWidth="1"/>
    <col min="2" max="2" width="13.5703125" bestFit="1" customWidth="1"/>
    <col min="3" max="3" width="9.28515625" bestFit="1" customWidth="1"/>
    <col min="4" max="4" width="18.7109375" bestFit="1" customWidth="1"/>
    <col min="5" max="5" width="13.42578125" bestFit="1" customWidth="1"/>
    <col min="6" max="6" width="15.85546875" bestFit="1" customWidth="1"/>
    <col min="7" max="7" width="12.85546875" bestFit="1" customWidth="1"/>
    <col min="8" max="8" width="15.85546875" bestFit="1" customWidth="1"/>
  </cols>
  <sheetData>
    <row r="1" spans="1:8">
      <c r="A1" t="s">
        <v>17</v>
      </c>
      <c r="B1" t="s">
        <v>18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28</v>
      </c>
    </row>
    <row r="2" spans="1:8">
      <c r="A2">
        <v>106</v>
      </c>
      <c r="B2" s="2">
        <v>46308</v>
      </c>
      <c r="C2" s="1" t="s">
        <v>6</v>
      </c>
      <c r="D2" s="1" t="s">
        <v>23</v>
      </c>
      <c r="E2">
        <v>5</v>
      </c>
      <c r="F2">
        <v>4500</v>
      </c>
      <c r="G2">
        <v>22500</v>
      </c>
      <c r="H2" s="3">
        <v>46308.482268020831</v>
      </c>
    </row>
    <row r="3" spans="1:8">
      <c r="A3">
        <v>107</v>
      </c>
      <c r="B3" s="2">
        <v>46308</v>
      </c>
      <c r="C3" s="1" t="s">
        <v>8</v>
      </c>
      <c r="D3" s="1" t="s">
        <v>24</v>
      </c>
      <c r="E3">
        <v>12</v>
      </c>
      <c r="F3">
        <v>1400</v>
      </c>
      <c r="G3">
        <v>16800</v>
      </c>
      <c r="H3" s="3">
        <v>46308.482268055559</v>
      </c>
    </row>
    <row r="4" spans="1:8">
      <c r="A4">
        <v>108</v>
      </c>
      <c r="B4" s="2">
        <v>46308</v>
      </c>
      <c r="C4" s="1" t="s">
        <v>10</v>
      </c>
      <c r="D4" s="1" t="s">
        <v>25</v>
      </c>
      <c r="E4">
        <v>25</v>
      </c>
      <c r="F4">
        <v>350</v>
      </c>
      <c r="G4">
        <v>8750</v>
      </c>
      <c r="H4" s="3">
        <v>46308.482268055559</v>
      </c>
    </row>
    <row r="5" spans="1:8">
      <c r="A5">
        <v>109</v>
      </c>
      <c r="B5" s="2">
        <v>46308</v>
      </c>
      <c r="C5" s="1" t="s">
        <v>6</v>
      </c>
      <c r="D5" s="1" t="s">
        <v>26</v>
      </c>
      <c r="E5">
        <v>8</v>
      </c>
      <c r="F5">
        <v>1200</v>
      </c>
      <c r="G5">
        <v>9600</v>
      </c>
      <c r="H5" s="3">
        <v>46308.48226809028</v>
      </c>
    </row>
    <row r="6" spans="1:8">
      <c r="A6">
        <v>110</v>
      </c>
      <c r="B6" s="2">
        <v>46308</v>
      </c>
      <c r="C6" s="1" t="s">
        <v>8</v>
      </c>
      <c r="D6" s="1" t="s">
        <v>27</v>
      </c>
      <c r="E6">
        <v>40</v>
      </c>
      <c r="F6">
        <v>150</v>
      </c>
      <c r="G6">
        <v>6000</v>
      </c>
      <c r="H6" s="3">
        <v>46308.482268136577</v>
      </c>
    </row>
    <row r="7" spans="1:8">
      <c r="A7">
        <v>111</v>
      </c>
      <c r="B7" s="2">
        <v>46308</v>
      </c>
      <c r="C7" s="1" t="s">
        <v>36</v>
      </c>
      <c r="D7" s="1" t="s">
        <v>27</v>
      </c>
      <c r="E7">
        <v>20</v>
      </c>
      <c r="F7">
        <v>150</v>
      </c>
      <c r="G7">
        <v>3000</v>
      </c>
      <c r="H7" s="3">
        <v>46308.482268171298</v>
      </c>
    </row>
    <row r="8" spans="1:8">
      <c r="A8">
        <v>112</v>
      </c>
      <c r="B8" s="2">
        <v>46308</v>
      </c>
      <c r="C8" s="1" t="s">
        <v>36</v>
      </c>
      <c r="D8" s="1" t="s">
        <v>26</v>
      </c>
      <c r="E8">
        <v>30</v>
      </c>
      <c r="F8">
        <v>1200</v>
      </c>
      <c r="G8">
        <v>36000</v>
      </c>
      <c r="H8" s="3">
        <v>46308.482268206018</v>
      </c>
    </row>
    <row r="9" spans="1:8">
      <c r="A9">
        <v>113</v>
      </c>
      <c r="B9" s="2">
        <v>46308</v>
      </c>
      <c r="C9" s="1" t="s">
        <v>36</v>
      </c>
      <c r="D9" s="1" t="s">
        <v>24</v>
      </c>
      <c r="E9">
        <v>20</v>
      </c>
      <c r="F9">
        <v>1400</v>
      </c>
      <c r="G9">
        <v>28000</v>
      </c>
      <c r="H9" s="3">
        <v>46308.482268252315</v>
      </c>
    </row>
    <row r="10" spans="1:8">
      <c r="A10">
        <v>114</v>
      </c>
      <c r="B10" s="2">
        <v>46308</v>
      </c>
      <c r="C10" s="1" t="s">
        <v>10</v>
      </c>
      <c r="D10" s="1" t="s">
        <v>25</v>
      </c>
      <c r="E10">
        <v>40</v>
      </c>
      <c r="F10">
        <v>350</v>
      </c>
      <c r="G10">
        <v>14000</v>
      </c>
      <c r="H10" s="3">
        <v>46308.482268252315</v>
      </c>
    </row>
    <row r="11" spans="1:8">
      <c r="A11">
        <v>115</v>
      </c>
      <c r="B11" s="2">
        <v>46308</v>
      </c>
      <c r="C11" s="1" t="s">
        <v>10</v>
      </c>
      <c r="D11" s="1" t="s">
        <v>23</v>
      </c>
      <c r="E11">
        <v>5</v>
      </c>
      <c r="F11">
        <v>4500</v>
      </c>
      <c r="G11">
        <v>22500</v>
      </c>
      <c r="H11" s="3">
        <v>46308.482268287036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A2747-DD04-4B64-BAD7-DDD1E516F0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Dashboard_Executivo</vt:lpstr>
      <vt:lpstr>Dados_Consolidados</vt:lpstr>
      <vt:lpstr>stg_vendas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</cp:lastModifiedBy>
  <dcterms:created xsi:type="dcterms:W3CDTF">2026-10-09T15:08:52Z</dcterms:created>
  <dcterms:modified xsi:type="dcterms:W3CDTF">2026-10-13T14:34:53Z</dcterms:modified>
</cp:coreProperties>
</file>